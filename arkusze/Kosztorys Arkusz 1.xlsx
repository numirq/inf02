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szmar\Documents\"/>
    </mc:Choice>
  </mc:AlternateContent>
  <xr:revisionPtr revIDLastSave="0" documentId="8_{887AF049-D83A-4308-BD98-88225AFD9197}" xr6:coauthVersionLast="47" xr6:coauthVersionMax="47" xr10:uidLastSave="{00000000-0000-0000-0000-000000000000}"/>
  <bookViews>
    <workbookView xWindow="-120" yWindow="-120" windowWidth="29040" windowHeight="15720" xr2:uid="{BB5D8103-84C1-4C63-9207-9E76193D23B2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F4" i="1" s="1"/>
  <c r="I4" i="1" s="1"/>
  <c r="E5" i="1"/>
  <c r="E6" i="1"/>
  <c r="F6" i="1" s="1"/>
  <c r="I6" i="1" s="1"/>
  <c r="E7" i="1"/>
  <c r="F7" i="1" s="1"/>
  <c r="I7" i="1" s="1"/>
  <c r="E8" i="1"/>
  <c r="F8" i="1" s="1"/>
  <c r="I8" i="1" s="1"/>
  <c r="E9" i="1"/>
  <c r="F9" i="1" s="1"/>
  <c r="I9" i="1" s="1"/>
  <c r="E10" i="1"/>
  <c r="F10" i="1" s="1"/>
  <c r="I10" i="1" s="1"/>
  <c r="F5" i="1"/>
  <c r="I5" i="1" s="1"/>
  <c r="H4" i="1"/>
  <c r="H5" i="1"/>
  <c r="H6" i="1"/>
  <c r="H7" i="1"/>
  <c r="H8" i="1"/>
  <c r="H9" i="1"/>
  <c r="H10" i="1"/>
  <c r="H3" i="1"/>
  <c r="E3" i="1"/>
  <c r="F3" i="1" s="1"/>
  <c r="I3" i="1" s="1"/>
  <c r="I11" i="1" l="1"/>
  <c r="I12" i="1" s="1"/>
  <c r="I13" i="1" s="1"/>
</calcChain>
</file>

<file path=xl/sharedStrings.xml><?xml version="1.0" encoding="utf-8"?>
<sst xmlns="http://schemas.openxmlformats.org/spreadsheetml/2006/main" count="27" uniqueCount="27">
  <si>
    <t>Lp.</t>
  </si>
  <si>
    <t>Nazwa elementu</t>
  </si>
  <si>
    <t>Cena netto</t>
  </si>
  <si>
    <t>VAT (kwota)</t>
  </si>
  <si>
    <t>Cena brutto</t>
  </si>
  <si>
    <t>Ilość</t>
  </si>
  <si>
    <t>Wartość netto</t>
  </si>
  <si>
    <t>Wartość brutto</t>
  </si>
  <si>
    <t>Rabat 10% dla zakupów za 2000,00 zł i więcej</t>
  </si>
  <si>
    <t>Suma</t>
  </si>
  <si>
    <t>Do zapłaty</t>
  </si>
  <si>
    <t>plyta glowna</t>
  </si>
  <si>
    <t>procesor</t>
  </si>
  <si>
    <t>ram</t>
  </si>
  <si>
    <t>dysk</t>
  </si>
  <si>
    <t>gpu</t>
  </si>
  <si>
    <t>zasilacz</t>
  </si>
  <si>
    <t>os</t>
  </si>
  <si>
    <t>obudowa</t>
  </si>
  <si>
    <t xml:space="preserve">1. </t>
  </si>
  <si>
    <t xml:space="preserve">2. </t>
  </si>
  <si>
    <t>4.</t>
  </si>
  <si>
    <t>5.</t>
  </si>
  <si>
    <t>6.</t>
  </si>
  <si>
    <t>7.</t>
  </si>
  <si>
    <t>8.</t>
  </si>
  <si>
    <t>TO SA LOSOWE CENY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</si>
</sst>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zł&quot;_-;\-* #,##0.00\ &quot;zł&quot;_-;_-* &quot;-&quot;??\ &quot;zł&quot;_-;_-@_-"/>
  </numFmts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0" xfId="0" applyAlignment="1">
      <alignment horizontal="center"/>
    </xf>
  </cellXfs>
  <cellStyles count="2">
    <cellStyle name="Normalny" xfId="0" builtinId="0"/>
    <cellStyle name="Walutow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84C4C-5D23-4CE8-8433-5FC96253E88E}">
  <dimension ref="B2:I15"/>
  <sheetViews>
    <sheetView tabSelected="1" zoomScale="115" zoomScaleNormal="115" workbookViewId="0">
      <selection activeCell="C15" sqref="C15:H15"/>
    </sheetView>
  </sheetViews>
  <sheetFormatPr defaultRowHeight="15" x14ac:dyDescent="0.25"/>
  <cols>
    <col min="2" max="2" width="3.85546875" bestFit="1" customWidth="1"/>
    <col min="3" max="3" width="15.7109375" bestFit="1" customWidth="1"/>
    <col min="4" max="4" width="11.7109375" bestFit="1" customWidth="1"/>
    <col min="5" max="5" width="11.42578125" bestFit="1" customWidth="1"/>
    <col min="6" max="6" width="11.7109375" bestFit="1" customWidth="1"/>
    <col min="7" max="7" width="5.28515625" bestFit="1" customWidth="1"/>
    <col min="8" max="8" width="13.85546875" bestFit="1" customWidth="1"/>
    <col min="9" max="9" width="14.5703125" bestFit="1" customWidth="1"/>
  </cols>
  <sheetData>
    <row r="2" spans="2:9" x14ac:dyDescent="0.25"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</row>
    <row r="3" spans="2:9" x14ac:dyDescent="0.25">
      <c r="B3" s="10" t="s">
        <v>19</v>
      </c>
      <c r="C3" s="1" t="s">
        <v>11</v>
      </c>
      <c r="D3" s="11">
        <v>600</v>
      </c>
      <c r="E3" s="11">
        <f>D3*23%</f>
        <v>138</v>
      </c>
      <c r="F3" s="11">
        <f>D3+E3</f>
        <v>738</v>
      </c>
      <c r="G3" s="1">
        <v>1</v>
      </c>
      <c r="H3" s="11">
        <f>D3*G3</f>
        <v>600</v>
      </c>
      <c r="I3" s="11">
        <f>F3*G3</f>
        <v>738</v>
      </c>
    </row>
    <row r="4" spans="2:9" x14ac:dyDescent="0.25">
      <c r="B4" s="10" t="s">
        <v>20</v>
      </c>
      <c r="C4" s="1" t="s">
        <v>12</v>
      </c>
      <c r="D4" s="11">
        <v>1200</v>
      </c>
      <c r="E4" s="11">
        <f t="shared" ref="E4:E10" si="0">D4*23%</f>
        <v>276</v>
      </c>
      <c r="F4" s="11">
        <f t="shared" ref="F4:F10" si="1">D4+E4</f>
        <v>1476</v>
      </c>
      <c r="G4" s="1">
        <v>1</v>
      </c>
      <c r="H4" s="11">
        <f t="shared" ref="H4:H10" si="2">D4*G4</f>
        <v>1200</v>
      </c>
      <c r="I4" s="11">
        <f t="shared" ref="I4:I10" si="3">F4*G4</f>
        <v>1476</v>
      </c>
    </row>
    <row r="5" spans="2:9" x14ac:dyDescent="0.25">
      <c r="B5" s="10">
        <v>3</v>
      </c>
      <c r="C5" s="1" t="s">
        <v>13</v>
      </c>
      <c r="D5" s="11">
        <v>200</v>
      </c>
      <c r="E5" s="11">
        <f t="shared" si="0"/>
        <v>46</v>
      </c>
      <c r="F5" s="11">
        <f t="shared" si="1"/>
        <v>246</v>
      </c>
      <c r="G5" s="1">
        <v>1</v>
      </c>
      <c r="H5" s="11">
        <f t="shared" si="2"/>
        <v>200</v>
      </c>
      <c r="I5" s="11">
        <f t="shared" si="3"/>
        <v>246</v>
      </c>
    </row>
    <row r="6" spans="2:9" x14ac:dyDescent="0.25">
      <c r="B6" s="10" t="s">
        <v>21</v>
      </c>
      <c r="C6" s="1" t="s">
        <v>14</v>
      </c>
      <c r="D6" s="11">
        <v>300</v>
      </c>
      <c r="E6" s="11">
        <f t="shared" si="0"/>
        <v>69</v>
      </c>
      <c r="F6" s="11">
        <f t="shared" si="1"/>
        <v>369</v>
      </c>
      <c r="G6" s="1">
        <v>1</v>
      </c>
      <c r="H6" s="11">
        <f t="shared" si="2"/>
        <v>300</v>
      </c>
      <c r="I6" s="11">
        <f t="shared" si="3"/>
        <v>369</v>
      </c>
    </row>
    <row r="7" spans="2:9" x14ac:dyDescent="0.25">
      <c r="B7" s="10" t="s">
        <v>22</v>
      </c>
      <c r="C7" s="1" t="s">
        <v>15</v>
      </c>
      <c r="D7" s="11">
        <v>700</v>
      </c>
      <c r="E7" s="11">
        <f t="shared" si="0"/>
        <v>161</v>
      </c>
      <c r="F7" s="11">
        <f t="shared" si="1"/>
        <v>861</v>
      </c>
      <c r="G7" s="1">
        <v>1</v>
      </c>
      <c r="H7" s="11">
        <f t="shared" si="2"/>
        <v>700</v>
      </c>
      <c r="I7" s="11">
        <f t="shared" si="3"/>
        <v>861</v>
      </c>
    </row>
    <row r="8" spans="2:9" x14ac:dyDescent="0.25">
      <c r="B8" s="10" t="s">
        <v>23</v>
      </c>
      <c r="C8" s="1" t="s">
        <v>16</v>
      </c>
      <c r="D8" s="11">
        <v>150</v>
      </c>
      <c r="E8" s="11">
        <f t="shared" si="0"/>
        <v>34.5</v>
      </c>
      <c r="F8" s="11">
        <f t="shared" si="1"/>
        <v>184.5</v>
      </c>
      <c r="G8" s="1">
        <v>1</v>
      </c>
      <c r="H8" s="11">
        <f t="shared" si="2"/>
        <v>150</v>
      </c>
      <c r="I8" s="11">
        <f t="shared" si="3"/>
        <v>184.5</v>
      </c>
    </row>
    <row r="9" spans="2:9" x14ac:dyDescent="0.25">
      <c r="B9" s="10" t="s">
        <v>24</v>
      </c>
      <c r="C9" s="1" t="s">
        <v>18</v>
      </c>
      <c r="D9" s="11">
        <v>89</v>
      </c>
      <c r="E9" s="11">
        <f t="shared" si="0"/>
        <v>20.470000000000002</v>
      </c>
      <c r="F9" s="11">
        <f t="shared" si="1"/>
        <v>109.47</v>
      </c>
      <c r="G9" s="1">
        <v>1</v>
      </c>
      <c r="H9" s="11">
        <f t="shared" si="2"/>
        <v>89</v>
      </c>
      <c r="I9" s="11">
        <f t="shared" si="3"/>
        <v>109.47</v>
      </c>
    </row>
    <row r="10" spans="2:9" x14ac:dyDescent="0.25">
      <c r="B10" s="10" t="s">
        <v>25</v>
      </c>
      <c r="C10" s="1" t="s">
        <v>17</v>
      </c>
      <c r="D10" s="11">
        <v>670</v>
      </c>
      <c r="E10" s="11">
        <f t="shared" si="0"/>
        <v>154.1</v>
      </c>
      <c r="F10" s="11">
        <f t="shared" si="1"/>
        <v>824.1</v>
      </c>
      <c r="G10" s="1">
        <v>1</v>
      </c>
      <c r="H10" s="11">
        <f t="shared" si="2"/>
        <v>670</v>
      </c>
      <c r="I10" s="11">
        <f t="shared" si="3"/>
        <v>824.1</v>
      </c>
    </row>
    <row r="11" spans="2:9" x14ac:dyDescent="0.25">
      <c r="B11" s="2"/>
      <c r="C11" s="3"/>
      <c r="D11" s="3"/>
      <c r="E11" s="3"/>
      <c r="F11" s="3"/>
      <c r="G11" s="4"/>
      <c r="H11" s="5" t="s">
        <v>9</v>
      </c>
      <c r="I11" s="11">
        <f>SUM(I3:I10)</f>
        <v>4808.07</v>
      </c>
    </row>
    <row r="12" spans="2:9" x14ac:dyDescent="0.25">
      <c r="B12" s="7" t="s">
        <v>8</v>
      </c>
      <c r="C12" s="8"/>
      <c r="D12" s="8"/>
      <c r="E12" s="8"/>
      <c r="F12" s="8"/>
      <c r="G12" s="9"/>
      <c r="H12" s="1"/>
      <c r="I12" s="11">
        <f>IF(I11&gt;2000,I11*10%,0)</f>
        <v>480.80700000000002</v>
      </c>
    </row>
    <row r="13" spans="2:9" x14ac:dyDescent="0.25">
      <c r="B13" s="2"/>
      <c r="C13" s="3"/>
      <c r="D13" s="3"/>
      <c r="E13" s="3"/>
      <c r="F13" s="3"/>
      <c r="G13" s="4"/>
      <c r="H13" s="5" t="s">
        <v>10</v>
      </c>
      <c r="I13" s="11">
        <f>I11-I12</f>
        <v>4327.2629999999999</v>
      </c>
    </row>
    <row r="15" spans="2:9" x14ac:dyDescent="0.25">
      <c r="C15" s="12" t="s">
        <v>26</v>
      </c>
      <c r="D15" s="12"/>
      <c r="E15" s="12"/>
      <c r="F15" s="12"/>
      <c r="G15" s="12"/>
      <c r="H15" s="12"/>
    </row>
  </sheetData>
  <mergeCells count="4">
    <mergeCell ref="B11:G11"/>
    <mergeCell ref="B12:G12"/>
    <mergeCell ref="B13:G13"/>
    <mergeCell ref="C15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Koszmar</dc:creator>
  <cp:lastModifiedBy>Koszmar</cp:lastModifiedBy>
  <dcterms:created xsi:type="dcterms:W3CDTF">2026-06-15T18:28:36Z</dcterms:created>
  <dcterms:modified xsi:type="dcterms:W3CDTF">2026-06-15T18:40:06Z</dcterms:modified>
</cp:coreProperties>
</file>